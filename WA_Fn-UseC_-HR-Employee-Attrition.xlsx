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hilipo\Desktop\CHEATSHEET FOR DATA SCIENCE\Datasets\archive\"/>
    </mc:Choice>
  </mc:AlternateContent>
  <xr:revisionPtr revIDLastSave="0" documentId="13_ncr:1_{01E0FB43-24AC-4291-BA37-901245B64AA8}" xr6:coauthVersionLast="47" xr6:coauthVersionMax="47" xr10:uidLastSave="{00000000-0000-0000-0000-000000000000}"/>
  <bookViews>
    <workbookView xWindow="-120" yWindow="-120" windowWidth="20730" windowHeight="11160" firstSheet="1" activeTab="3" xr2:uid="{DF56476B-3E33-4291-BF32-C0FBBBA6039D}"/>
  </bookViews>
  <sheets>
    <sheet name="Sheet1" sheetId="2" r:id="rId1"/>
    <sheet name="Sheet2" sheetId="3" r:id="rId2"/>
    <sheet name="WA_Fn-UseC_-HR-Employee-Attriti" sheetId="1" r:id="rId3"/>
    <sheet name="Executive Summary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4" l="1"/>
  <c r="B20" i="4"/>
  <c r="B19" i="4"/>
  <c r="B18" i="4"/>
  <c r="B31" i="4"/>
  <c r="AN2" i="1"/>
  <c r="AM2" i="1"/>
  <c r="F6" i="3"/>
  <c r="F5" i="3"/>
  <c r="F7" i="2"/>
  <c r="F6" i="2"/>
  <c r="F5" i="2"/>
  <c r="AL2" i="1"/>
</calcChain>
</file>

<file path=xl/sharedStrings.xml><?xml version="1.0" encoding="utf-8"?>
<sst xmlns="http://schemas.openxmlformats.org/spreadsheetml/2006/main" count="13327" uniqueCount="81">
  <si>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</si>
  <si>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</si>
  <si>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</si>
  <si>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</si>
  <si>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</si>
  <si>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</si>
  <si>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</si>
  <si>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</si>
  <si>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</si>
  <si>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</si>
  <si>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</si>
  <si>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</si>
  <si>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</si>
  <si>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</si>
  <si>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</si>
  <si>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</si>
  <si>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</si>
  <si>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</si>
  <si>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</si>
  <si>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</si>
  <si>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</si>
  <si>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</si>
  <si>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</si>
  <si>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</si>
  <si>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</si>
  <si>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</si>
  <si>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</si>
  <si>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</si>
  <si>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</si>
  <si>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</si>
  <si>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</si>
  <si>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</si>
  <si>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</si>
  <si>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</si>
  <si>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</si>
  <si>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</si>
  <si>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</si>
  <si>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</si>
  <si>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</si>
  <si>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</si>
  <si>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</si>
  <si>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</si>
  <si>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</si>
  <si>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</si>
  <si>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</si>
  <si>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</si>
  <si>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</si>
  <si>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</si>
  <si>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</si>
  <si>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</si>
  <si>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</si>
  <si>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</si>
  <si>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</si>
  <si>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</si>
  <si>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</si>
  <si>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</si>
  <si>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</si>
  <si>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</si>
  <si>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</si>
  <si>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</si>
  <si>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</si>
  <si>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</si>
  <si>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</si>
  <si>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</si>
  <si>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</si>
  <si>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Count of Attrition</t>
  </si>
  <si>
    <t>Attrition Rate</t>
  </si>
  <si>
    <t>Total Employees</t>
  </si>
  <si>
    <t>Overall Attrition Rate</t>
  </si>
  <si>
    <t>Highest Attrition Dept.</t>
  </si>
  <si>
    <t>OverTime Attrition Gap</t>
  </si>
  <si>
    <t>Avg Income (Left)</t>
  </si>
  <si>
    <t>Avg Income (stayed)</t>
  </si>
  <si>
    <t>Key Takeaways</t>
  </si>
  <si>
    <t>Overtime is strongly associated with attrition - employees working overtime leave at nearly 3x the rate of those who don’t.</t>
  </si>
  <si>
    <t xml:space="preserve"> </t>
  </si>
  <si>
    <t>Sales department has the highest attrition rate (20.6%) despite R&amp;D having the most total departures.</t>
  </si>
  <si>
    <t>Employees who left earned roughly 30% less on average than those who stayed, suggesting the amount of salary or pay may be a retention factor.</t>
  </si>
  <si>
    <t>OverTime Workers</t>
  </si>
  <si>
    <t>Departments</t>
  </si>
  <si>
    <t>30.5% vs 10.4%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</si>
</sst>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" fontId="0" fillId="0" borderId="0" xfId="0" applyNumberFormat="1"/>
    <xf numFmtId="8" fontId="0" fillId="0" borderId="0" xfId="0" applyNumberFormat="1"/>
    <xf numFmtId="0" fontId="0" fillId="33" borderId="0" xfId="0" applyFill="1"/>
    <xf numFmtId="0" fontId="0" fillId="34" borderId="0" xfId="0" applyFill="1"/>
    <xf numFmtId="164" fontId="0" fillId="34" borderId="0" xfId="0" applyNumberFormat="1" applyFill="1"/>
    <xf numFmtId="164" fontId="0" fillId="35" borderId="0" xfId="0" applyNumberFormat="1" applyFill="1"/>
    <xf numFmtId="0" fontId="0" fillId="35" borderId="0" xfId="0" applyFill="1"/>
    <xf numFmtId="0" fontId="0" fillId="36" borderId="0" xfId="0" applyFill="1" applyAlignment="1">
      <alignment horizontal="left"/>
    </xf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[WA_Fn-UseC_-HR-Employee-Attrition.xlsx]Executive Summary!PivotTable3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Summary'!$B$10:$B$11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Summary'!$A$12:$A$15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'Executive Summary'!$B$12:$B$15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B-44BA-A08A-9DB6771795B8}"/>
            </c:ext>
          </c:extLst>
        </c:ser>
        <c:ser>
          <c:idx val="1"/>
          <c:order val="1"/>
          <c:tx>
            <c:strRef>
              <c:f>'Executive Summary'!$C$10:$C$11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'Executive Summary'!$A$12:$A$15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'Executive Summary'!$C$12:$C$15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6B-44BA-A08A-9DB677179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004607"/>
        <c:axId val="634025247"/>
      </c:barChart>
      <c:catAx>
        <c:axId val="63400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25247"/>
        <c:crosses val="autoZero"/>
        <c:auto val="1"/>
        <c:lblAlgn val="ctr"/>
        <c:lblOffset val="100"/>
        <c:noMultiLvlLbl val="0"/>
      </c:catAx>
      <c:valAx>
        <c:axId val="63402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0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[WA_Fn-UseC_-HR-Employee-Attrition.xlsx]Executive Summary!PivotTable4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Summary'!$B$23:$B$24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Summary'!$A$25:$A$27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'Executive Summary'!$B$25:$B$27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0-414E-AF9C-D37F9293476F}"/>
            </c:ext>
          </c:extLst>
        </c:ser>
        <c:ser>
          <c:idx val="1"/>
          <c:order val="1"/>
          <c:tx>
            <c:strRef>
              <c:f>'Executive Summary'!$C$23:$C$24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'Executive Summary'!$A$25:$A$27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'Executive Summary'!$C$25:$C$27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50-414E-AF9C-D37F92934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026687"/>
        <c:axId val="634016607"/>
      </c:barChart>
      <c:catAx>
        <c:axId val="63402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16607"/>
        <c:crosses val="autoZero"/>
        <c:auto val="1"/>
        <c:lblAlgn val="ctr"/>
        <c:lblOffset val="100"/>
        <c:noMultiLvlLbl val="0"/>
      </c:catAx>
      <c:valAx>
        <c:axId val="63401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2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Rate: OverTime vs. Non-OverTime Employees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Non-Overtime Employees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Summary'!$B$29</c:f>
              <c:strCache>
                <c:ptCount val="1"/>
                <c:pt idx="0">
                  <c:v>Attrition Rate</c:v>
                </c:pt>
              </c:strCache>
            </c:strRef>
          </c:cat>
          <c:val>
            <c:numRef>
              <c:f>'Executive Summary'!$B$30</c:f>
              <c:numCache>
                <c:formatCode>0.0%</c:formatCode>
                <c:ptCount val="1"/>
                <c:pt idx="0">
                  <c:v>0.10436432637571158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2-4DA3-BE14-29352CBC0BFA}"/>
            </c:ext>
          </c:extLst>
        </c:ser>
        <c:ser>
          <c:idx val="1"/>
          <c:order val="1"/>
          <c:tx>
            <c:v>OverTime Employees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'Executive Summary'!$B$29</c:f>
              <c:strCache>
                <c:ptCount val="1"/>
                <c:pt idx="0">
                  <c:v>Attrition Rate</c:v>
                </c:pt>
              </c:strCache>
            </c:strRef>
          </c:cat>
          <c:val>
            <c:numRef>
              <c:f>'Executive Summary'!$B$31</c:f>
              <c:numCache>
                <c:formatCode>0.0%</c:formatCode>
                <c:ptCount val="1"/>
                <c:pt idx="0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2-4DA3-BE14-29352CBC0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4310671"/>
        <c:axId val="364306351"/>
      </c:barChart>
      <c:catAx>
        <c:axId val="36431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06351"/>
        <c:crosses val="autoZero"/>
        <c:auto val="1"/>
        <c:lblAlgn val="ctr"/>
        <c:lblOffset val="100"/>
        <c:noMultiLvlLbl val="0"/>
      </c:catAx>
      <c:valAx>
        <c:axId val="36430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1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Rates among Departments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Human Resources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'Executive Summary'!$B$17</c:f>
              <c:strCache>
                <c:ptCount val="1"/>
                <c:pt idx="0">
                  <c:v>Attrition Rate</c:v>
                </c:pt>
              </c:strCache>
            </c:strRef>
          </c:cat>
          <c:val>
            <c:numRef>
              <c:f>'Executive Summary'!$B$18</c:f>
              <c:numCache>
                <c:formatCode>0.0%</c:formatCode>
                <c:ptCount val="1"/>
                <c:pt idx="0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D-4F6E-8CCF-4879ABF9C719}"/>
            </c:ext>
          </c:extLst>
        </c:ser>
        <c:ser>
          <c:idx val="1"/>
          <c:order val="1"/>
          <c:tx>
            <c:v>Research &amp; Development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'Executive Summary'!$B$17</c:f>
              <c:strCache>
                <c:ptCount val="1"/>
                <c:pt idx="0">
                  <c:v>Attrition Rate</c:v>
                </c:pt>
              </c:strCache>
            </c:strRef>
          </c:cat>
          <c:val>
            <c:numRef>
              <c:f>'Executive Summary'!$B$19</c:f>
              <c:numCache>
                <c:formatCode>0.0%</c:formatCode>
                <c:ptCount val="1"/>
                <c:pt idx="0">
                  <c:v>0.13839750260145681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AD-4F6E-8CCF-4879ABF9C719}"/>
            </c:ext>
          </c:extLst>
        </c:ser>
        <c:ser>
          <c:idx val="2"/>
          <c:order val="2"/>
          <c:tx>
            <c:v>Sales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'Executive Summary'!$B$17</c:f>
              <c:strCache>
                <c:ptCount val="1"/>
                <c:pt idx="0">
                  <c:v>Attrition Rate</c:v>
                </c:pt>
              </c:strCache>
            </c:strRef>
          </c:cat>
          <c:val>
            <c:numRef>
              <c:f>'Executive Summary'!$B$20</c:f>
              <c:numCache>
                <c:formatCode>0.0%</c:formatCode>
                <c:ptCount val="1"/>
                <c:pt idx="0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AD-4F6E-8CCF-4879ABF9C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566111"/>
        <c:axId val="376588191"/>
      </c:barChart>
      <c:catAx>
        <c:axId val="37656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588191"/>
        <c:crosses val="autoZero"/>
        <c:auto val="1"/>
        <c:lblAlgn val="ctr"/>
        <c:lblOffset val="100"/>
        <c:noMultiLvlLbl val="0"/>
      </c:catAx>
      <c:valAx>
        <c:axId val="37658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56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4</xdr:row>
      <xdr:rowOff>100012</xdr:rowOff>
    </xdr:from>
    <xdr:to>
      <xdr:col>12</xdr:col>
      <xdr:colOff>171450</xdr:colOff>
      <xdr:row>18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EBE727-AE24-D1AF-B7E5-8AF863F93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438150</xdr:colOff>
      <xdr:row>20</xdr:row>
      <xdr:rowOff>166687</xdr:rowOff>
    </xdr:from>
    <xdr:to>
      <xdr:col>12</xdr:col>
      <xdr:colOff>133350</xdr:colOff>
      <xdr:row>35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F38DD3-A304-FC0D-0364-6E30C19AE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209550</xdr:colOff>
      <xdr:row>20</xdr:row>
      <xdr:rowOff>176212</xdr:rowOff>
    </xdr:from>
    <xdr:to>
      <xdr:col>18</xdr:col>
      <xdr:colOff>371475</xdr:colOff>
      <xdr:row>35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9321FA-5C71-07A8-2FB6-2327099FF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247650</xdr:colOff>
      <xdr:row>4</xdr:row>
      <xdr:rowOff>100012</xdr:rowOff>
    </xdr:from>
    <xdr:to>
      <xdr:col>18</xdr:col>
      <xdr:colOff>409575</xdr:colOff>
      <xdr:row>18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6F5D47-0676-B3B9-DB92-2C0BF9F48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o" refreshedDate="46214.598062731478" createdVersion="8" refreshedVersion="8" minRefreshableVersion="3" recordCount="1470" xr:uid="{0740371F-5121-403E-AEBE-6696EF759B4B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B6C44-D355-4670-932A-F18CE21801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25B40-88A1-4740-8B16-2F12CBAE4B5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E13AB-CE93-4115-90C1-DA9C77BC71F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3:D27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0E3E1-90AF-426C-AB89-34F9C0E7333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0:D15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4F24-2EA9-4092-BD45-56A80ED6E007}">
  <dimension ref="A3:F8"/>
  <sheetViews>
    <sheetView workbookViewId="0">
      <selection activeCell="F12" sqref="F12"/>
    </sheetView>
  </sheetViews>
  <sheetFormatPr defaultRowHeight="15" x14ac:dyDescent="0.25"/>
  <cols>
    <col min="1" max="1" width="23.140625" bestFit="1" customWidth="1"/>
    <col min="2" max="2" width="16.85546875" bestFit="1" customWidth="1"/>
    <col min="3" max="3" width="4.28515625" bestFit="1" customWidth="1"/>
    <col min="4" max="4" width="11.28515625" bestFit="1" customWidth="1"/>
    <col min="6" max="6" width="12.28515625" bestFit="1" customWidth="1"/>
  </cols>
  <sheetData>
    <row r="3" spans="1:6" x14ac:dyDescent="0.25">
      <c r="A3" s="2" t="s">
        <v>65</v>
      </c>
      <c r="B3" s="2" t="s">
        <v>64</v>
      </c>
    </row>
    <row r="4" spans="1:6" x14ac:dyDescent="0.25">
      <c r="A4" s="2" t="s">
        <v>62</v>
      </c>
      <c r="B4" t="s">
        <v>43</v>
      </c>
      <c r="C4" t="s">
        <v>35</v>
      </c>
      <c r="D4" t="s">
        <v>63</v>
      </c>
      <c r="F4" t="s">
        <v>66</v>
      </c>
    </row>
    <row r="5" spans="1:6" x14ac:dyDescent="0.25">
      <c r="A5" s="3" t="s">
        <v>61</v>
      </c>
      <c r="B5">
        <v>51</v>
      </c>
      <c r="C5">
        <v>12</v>
      </c>
      <c r="D5">
        <v>63</v>
      </c>
      <c r="F5" s="4">
        <f>GETPIVOTDATA("Attrition",$A$3,"Attrition","Yes","Department","Human Resources")/GETPIVOTDATA("Attrition",$A$3,"Department","Human Resources")</f>
        <v>0.19047619047619047</v>
      </c>
    </row>
    <row r="6" spans="1:6" x14ac:dyDescent="0.25">
      <c r="A6" s="3" t="s">
        <v>45</v>
      </c>
      <c r="B6">
        <v>828</v>
      </c>
      <c r="C6">
        <v>133</v>
      </c>
      <c r="D6">
        <v>961</v>
      </c>
      <c r="F6" s="4">
        <f>GETPIVOTDATA("Attrition",$A$3,"Attrition","Yes","Department","Research &amp; Development")/GETPIVOTDATA("Attrition",$A$3,"Department","Research &amp; Development")</f>
        <v>0.13839750260145681</v>
      </c>
    </row>
    <row r="7" spans="1:6" x14ac:dyDescent="0.25">
      <c r="A7" s="3" t="s">
        <v>37</v>
      </c>
      <c r="B7">
        <v>354</v>
      </c>
      <c r="C7">
        <v>92</v>
      </c>
      <c r="D7">
        <v>446</v>
      </c>
      <c r="F7" s="4">
        <f>GETPIVOTDATA("Attrition",$A$3,"Attrition","Yes","Department","Sales")/GETPIVOTDATA("Attrition",$A$3,"Department","Sales")</f>
        <v>0.20627802690582961</v>
      </c>
    </row>
    <row r="8" spans="1:6" x14ac:dyDescent="0.25">
      <c r="A8" s="3" t="s">
        <v>63</v>
      </c>
      <c r="B8">
        <v>1233</v>
      </c>
      <c r="C8">
        <v>237</v>
      </c>
      <c r="D8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7AC9-843B-44F7-B07C-01A7A082E53C}">
  <dimension ref="A3:F7"/>
  <sheetViews>
    <sheetView workbookViewId="0">
      <selection activeCell="B6" sqref="B6"/>
    </sheetView>
  </sheetViews>
  <sheetFormatPr defaultRowHeight="15" x14ac:dyDescent="0.25"/>
  <cols>
    <col min="1" max="2" width="16.85546875" bestFit="1" customWidth="1"/>
    <col min="3" max="3" width="4.28515625" bestFit="1" customWidth="1"/>
    <col min="4" max="4" width="11.28515625" bestFit="1" customWidth="1"/>
  </cols>
  <sheetData>
    <row r="3" spans="1:6" x14ac:dyDescent="0.25">
      <c r="A3" s="2" t="s">
        <v>65</v>
      </c>
      <c r="B3" s="2" t="s">
        <v>64</v>
      </c>
    </row>
    <row r="4" spans="1:6" x14ac:dyDescent="0.25">
      <c r="A4" s="2" t="s">
        <v>62</v>
      </c>
      <c r="B4" t="s">
        <v>43</v>
      </c>
      <c r="C4" t="s">
        <v>35</v>
      </c>
      <c r="D4" t="s">
        <v>63</v>
      </c>
    </row>
    <row r="5" spans="1:6" x14ac:dyDescent="0.25">
      <c r="A5" s="3" t="s">
        <v>43</v>
      </c>
      <c r="B5">
        <v>944</v>
      </c>
      <c r="C5">
        <v>110</v>
      </c>
      <c r="D5">
        <v>1054</v>
      </c>
      <c r="F5" s="4">
        <f>GETPIVOTDATA("Attrition",$A$3,"Attrition","Yes","OverTime","No")/GETPIVOTDATA("Attrition",$A$3,"OverTime","No")</f>
        <v>0.10436432637571158</v>
      </c>
    </row>
    <row r="6" spans="1:6" x14ac:dyDescent="0.25">
      <c r="A6" s="3" t="s">
        <v>35</v>
      </c>
      <c r="B6">
        <v>289</v>
      </c>
      <c r="C6">
        <v>127</v>
      </c>
      <c r="D6">
        <v>416</v>
      </c>
      <c r="F6" s="4">
        <f>GETPIVOTDATA("Attrition",$A$3,"Attrition","Yes","OverTime","Yes")/GETPIVOTDATA("Attrition",$A$3,"OverTime","Yes")</f>
        <v>0.30528846153846156</v>
      </c>
    </row>
    <row r="7" spans="1:6" x14ac:dyDescent="0.25">
      <c r="A7" s="3" t="s">
        <v>63</v>
      </c>
      <c r="B7">
        <v>1233</v>
      </c>
      <c r="C7">
        <v>237</v>
      </c>
      <c r="D7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E9A3-5A7F-4DBA-B12F-BB66AE256FEE}">
  <dimension ref="A1:AN1471"/>
  <sheetViews>
    <sheetView topLeftCell="R1" workbookViewId="0">
      <selection activeCell="AM13" sqref="AM13"/>
    </sheetView>
  </sheetViews>
  <sheetFormatPr defaultRowHeight="15" x14ac:dyDescent="0.25"/>
  <cols>
    <col min="34" max="34" width="23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40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L2" s="1">
        <f>COUNTIF(B2:B1471, "Yes")/COUNTA(B2:B1471)</f>
        <v>0.16122448979591836</v>
      </c>
      <c r="AM2" s="5">
        <f>AVERAGEIF(B2:B1471, "Yes", S2:S1471)</f>
        <v>4787.0928270042195</v>
      </c>
      <c r="AN2" s="5">
        <f>AVERAGEIF(B2:B1471, "No", S2:S1471)</f>
        <v>6832.7396593673966</v>
      </c>
    </row>
    <row r="3" spans="1:40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40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40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40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40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40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40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40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40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40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40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40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40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40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CFB8-508E-4A15-99FA-E580FC9DAB92}">
  <dimension ref="A1:H45"/>
  <sheetViews>
    <sheetView tabSelected="1" workbookViewId="0">
      <selection activeCell="C5" sqref="C5"/>
    </sheetView>
  </sheetViews>
  <sheetFormatPr defaultRowHeight="15" x14ac:dyDescent="0.25"/>
  <cols>
    <col min="1" max="1" width="22.28515625" customWidth="1"/>
    <col min="2" max="2" width="14.140625" bestFit="1" customWidth="1"/>
    <col min="4" max="4" width="11.28515625" bestFit="1" customWidth="1"/>
    <col min="14" max="14" width="17.28515625" bestFit="1" customWidth="1"/>
    <col min="15" max="15" width="12.28515625" bestFit="1" customWidth="1"/>
  </cols>
  <sheetData>
    <row r="1" spans="1:4" x14ac:dyDescent="0.25">
      <c r="A1" t="s">
        <v>67</v>
      </c>
      <c r="B1">
        <v>1470</v>
      </c>
    </row>
    <row r="2" spans="1:4" x14ac:dyDescent="0.25">
      <c r="A2" t="s">
        <v>68</v>
      </c>
      <c r="B2" s="1">
        <v>0.16120000000000001</v>
      </c>
    </row>
    <row r="3" spans="1:4" x14ac:dyDescent="0.25">
      <c r="A3" t="s">
        <v>69</v>
      </c>
      <c r="B3" t="s">
        <v>37</v>
      </c>
    </row>
    <row r="4" spans="1:4" x14ac:dyDescent="0.25">
      <c r="A4" t="s">
        <v>70</v>
      </c>
      <c r="B4" t="s">
        <v>80</v>
      </c>
    </row>
    <row r="10" spans="1:4" x14ac:dyDescent="0.25">
      <c r="A10" s="2" t="s">
        <v>65</v>
      </c>
      <c r="B10" s="2" t="s">
        <v>64</v>
      </c>
    </row>
    <row r="11" spans="1:4" x14ac:dyDescent="0.25">
      <c r="A11" s="2" t="s">
        <v>62</v>
      </c>
      <c r="B11" t="s">
        <v>43</v>
      </c>
      <c r="C11" t="s">
        <v>35</v>
      </c>
      <c r="D11" t="s">
        <v>63</v>
      </c>
    </row>
    <row r="12" spans="1:4" x14ac:dyDescent="0.25">
      <c r="A12" s="3" t="s">
        <v>61</v>
      </c>
      <c r="B12">
        <v>51</v>
      </c>
      <c r="C12">
        <v>12</v>
      </c>
      <c r="D12">
        <v>63</v>
      </c>
    </row>
    <row r="13" spans="1:4" x14ac:dyDescent="0.25">
      <c r="A13" s="3" t="s">
        <v>45</v>
      </c>
      <c r="B13">
        <v>828</v>
      </c>
      <c r="C13">
        <v>133</v>
      </c>
      <c r="D13">
        <v>961</v>
      </c>
    </row>
    <row r="14" spans="1:4" x14ac:dyDescent="0.25">
      <c r="A14" s="3" t="s">
        <v>37</v>
      </c>
      <c r="B14">
        <v>354</v>
      </c>
      <c r="C14">
        <v>92</v>
      </c>
      <c r="D14">
        <v>446</v>
      </c>
    </row>
    <row r="15" spans="1:4" x14ac:dyDescent="0.25">
      <c r="A15" s="3" t="s">
        <v>63</v>
      </c>
      <c r="B15">
        <v>1233</v>
      </c>
      <c r="C15">
        <v>237</v>
      </c>
      <c r="D15">
        <v>1470</v>
      </c>
    </row>
    <row r="17" spans="1:4" x14ac:dyDescent="0.25">
      <c r="A17" s="12" t="s">
        <v>79</v>
      </c>
      <c r="B17" s="13" t="s">
        <v>66</v>
      </c>
    </row>
    <row r="18" spans="1:4" x14ac:dyDescent="0.25">
      <c r="A18" s="3" t="s">
        <v>61</v>
      </c>
      <c r="B18" s="4">
        <f>12/63</f>
        <v>0.19047619047619047</v>
      </c>
    </row>
    <row r="19" spans="1:4" x14ac:dyDescent="0.25">
      <c r="A19" s="3" t="s">
        <v>45</v>
      </c>
      <c r="B19" s="4">
        <f>133/961</f>
        <v>0.13839750260145681</v>
      </c>
    </row>
    <row r="20" spans="1:4" x14ac:dyDescent="0.25">
      <c r="A20" s="3" t="s">
        <v>37</v>
      </c>
      <c r="B20" s="4">
        <f>92/446</f>
        <v>0.20627802690582961</v>
      </c>
    </row>
    <row r="23" spans="1:4" x14ac:dyDescent="0.25">
      <c r="A23" s="2" t="s">
        <v>65</v>
      </c>
      <c r="B23" s="2" t="s">
        <v>64</v>
      </c>
    </row>
    <row r="24" spans="1:4" x14ac:dyDescent="0.25">
      <c r="A24" s="2" t="s">
        <v>62</v>
      </c>
      <c r="B24" t="s">
        <v>43</v>
      </c>
      <c r="C24" t="s">
        <v>35</v>
      </c>
      <c r="D24" t="s">
        <v>63</v>
      </c>
    </row>
    <row r="25" spans="1:4" x14ac:dyDescent="0.25">
      <c r="A25" s="3" t="s">
        <v>43</v>
      </c>
      <c r="B25">
        <v>944</v>
      </c>
      <c r="C25">
        <v>110</v>
      </c>
      <c r="D25">
        <v>1054</v>
      </c>
    </row>
    <row r="26" spans="1:4" x14ac:dyDescent="0.25">
      <c r="A26" s="3" t="s">
        <v>35</v>
      </c>
      <c r="B26">
        <v>289</v>
      </c>
      <c r="C26">
        <v>127</v>
      </c>
      <c r="D26">
        <v>416</v>
      </c>
    </row>
    <row r="27" spans="1:4" x14ac:dyDescent="0.25">
      <c r="A27" s="3" t="s">
        <v>63</v>
      </c>
      <c r="B27">
        <v>1233</v>
      </c>
      <c r="C27">
        <v>237</v>
      </c>
      <c r="D27">
        <v>1470</v>
      </c>
    </row>
    <row r="29" spans="1:4" x14ac:dyDescent="0.25">
      <c r="A29" s="7" t="s">
        <v>78</v>
      </c>
      <c r="B29" s="7" t="s">
        <v>66</v>
      </c>
    </row>
    <row r="30" spans="1:4" x14ac:dyDescent="0.25">
      <c r="A30" s="8" t="s">
        <v>43</v>
      </c>
      <c r="B30" s="9">
        <f>110/1054</f>
        <v>0.10436432637571158</v>
      </c>
    </row>
    <row r="31" spans="1:4" x14ac:dyDescent="0.25">
      <c r="A31" s="11" t="s">
        <v>35</v>
      </c>
      <c r="B31" s="10">
        <f>127/416</f>
        <v>0.30528846153846156</v>
      </c>
    </row>
    <row r="33" spans="1:8" x14ac:dyDescent="0.25">
      <c r="C33" t="s">
        <v>75</v>
      </c>
    </row>
    <row r="38" spans="1:8" x14ac:dyDescent="0.25">
      <c r="A38" t="s">
        <v>71</v>
      </c>
      <c r="B38" s="6">
        <v>4787.09</v>
      </c>
    </row>
    <row r="39" spans="1:8" x14ac:dyDescent="0.25">
      <c r="A39" t="s">
        <v>72</v>
      </c>
      <c r="B39" s="6">
        <v>6832.74</v>
      </c>
    </row>
    <row r="42" spans="1:8" x14ac:dyDescent="0.25">
      <c r="A42" t="s">
        <v>73</v>
      </c>
    </row>
    <row r="43" spans="1:8" x14ac:dyDescent="0.25">
      <c r="A43" t="s">
        <v>74</v>
      </c>
    </row>
    <row r="44" spans="1:8" x14ac:dyDescent="0.25">
      <c r="A44" t="s">
        <v>76</v>
      </c>
      <c r="H44" t="s">
        <v>75</v>
      </c>
    </row>
    <row r="45" spans="1:8" x14ac:dyDescent="0.25">
      <c r="A45" t="s">
        <v>77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WA_Fn-UseC_-HR-Employee-Attriti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Obeng Nimako</cp:lastModifiedBy>
  <dcterms:created xsi:type="dcterms:W3CDTF">2026-07-10T23:15:05Z</dcterms:created>
  <dcterms:modified xsi:type="dcterms:W3CDTF">2026-07-13T18:48:58Z</dcterms:modified>
</cp:coreProperties>
</file>